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vivi/Downloads/"/>
    </mc:Choice>
  </mc:AlternateContent>
  <xr:revisionPtr revIDLastSave="0" documentId="8_{C859F849-BF0C-3541-9DEF-86E42C48514B}" xr6:coauthVersionLast="47" xr6:coauthVersionMax="47" xr10:uidLastSave="{00000000-0000-0000-0000-000000000000}"/>
  <bookViews>
    <workbookView xWindow="18100" yWindow="600" windowWidth="20300" windowHeight="19480" xr2:uid="{00000000-000D-0000-FFFF-FFFF00000000}"/>
  </bookViews>
  <sheets>
    <sheet name="Lean Canvas" sheetId="1" r:id="rId1"/>
    <sheet name="Check" sheetId="2" r:id="rId2"/>
  </sheets>
  <definedNames>
    <definedName name="Channels">'Lean Canvas'!$H$21</definedName>
    <definedName name="CostStructure">'Lean Canvas'!$B$31</definedName>
    <definedName name="CustomerSegments">'Lean Canvas'!$J$10</definedName>
    <definedName name="EarlyAdopters">'Lean Canvas'!$J$21</definedName>
    <definedName name="ExistingAlternatives">'Lean Canvas'!$B$21</definedName>
    <definedName name="HighLevelConcept">'Lean Canvas'!$F$21</definedName>
    <definedName name="KeyMetrics">'Lean Canvas'!$D$21</definedName>
    <definedName name="_xlnm.Print_Area" localSheetId="1">Check!$B$1:$E$22</definedName>
    <definedName name="_xlnm.Print_Area" localSheetId="0">'Lean Canvas'!$B$1:$K$40</definedName>
    <definedName name="Problem">'Lean Canvas'!$B$10</definedName>
    <definedName name="ProductName">'Lean Canvas'!$C$5</definedName>
    <definedName name="RevenueStreams">'Lean Canvas'!$G$31</definedName>
    <definedName name="Solution">'Lean Canvas'!$D$10</definedName>
    <definedName name="StudentEmail">'Lean Canvas'!$G$4</definedName>
    <definedName name="StudentName">'Lean Canvas'!$C$4</definedName>
    <definedName name="SubmissionDate">'Lean Canvas'!$G$5</definedName>
    <definedName name="UnfairAdvantage">'Lean Canvas'!$H$10</definedName>
    <definedName name="UniqueValueProp">'Lean Canvas'!$F$10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2" l="1"/>
  <c r="C20" i="2"/>
  <c r="D19" i="2"/>
  <c r="C19" i="2"/>
  <c r="D18" i="2"/>
  <c r="C18" i="2"/>
  <c r="D16" i="2"/>
  <c r="C16" i="2"/>
  <c r="D14" i="2"/>
  <c r="C14" i="2"/>
  <c r="D13" i="2"/>
  <c r="C13" i="2"/>
  <c r="D12" i="2"/>
  <c r="C12" i="2"/>
  <c r="D11" i="2"/>
  <c r="C11" i="2"/>
  <c r="D10" i="2"/>
  <c r="C10" i="2"/>
  <c r="D9" i="2"/>
  <c r="C9" i="2"/>
  <c r="D8" i="2"/>
  <c r="C8" i="2"/>
  <c r="D7" i="2"/>
  <c r="C7" i="2"/>
  <c r="D6" i="2"/>
  <c r="C6" i="2"/>
  <c r="D5" i="2"/>
  <c r="C5" i="2"/>
  <c r="C15" i="2" l="1"/>
  <c r="D15" i="2"/>
  <c r="C17" i="2"/>
  <c r="D17" i="2"/>
</calcChain>
</file>

<file path=xl/sharedStrings.xml><?xml version="1.0" encoding="utf-8"?>
<sst xmlns="http://schemas.openxmlformats.org/spreadsheetml/2006/main" count="88" uniqueCount="76">
  <si>
    <t>Lean Canvas</t>
  </si>
  <si>
    <t>MOR-531 Applied Product Management  ·  USC Marshall     |     Type directly into each box below. Use Alt+Enter (Option+Enter on Mac) for a new line. Do not insert or delete rows.</t>
  </si>
  <si>
    <t>Student Name:</t>
  </si>
  <si>
    <t>USC Email:</t>
  </si>
  <si>
    <t>Product / Venture:</t>
  </si>
  <si>
    <t>Date:</t>
  </si>
  <si>
    <t>1.  PROBLEM</t>
  </si>
  <si>
    <t>4.  SOLUTION</t>
  </si>
  <si>
    <t>3.  UNIQUE VALUE PROPOSITION</t>
  </si>
  <si>
    <t>9.  UNFAIR ADVANTAGE</t>
  </si>
  <si>
    <t>2.  CUSTOMER SEGMENTS</t>
  </si>
  <si>
    <t>Top 1–3 problems your customer has.</t>
  </si>
  <si>
    <t>Outline a possible solution for each problem.</t>
  </si>
  <si>
    <t>Single, clear, compelling message that states why you are different and worth buying.</t>
  </si>
  <si>
    <t>Something that cannot be easily copied or bought.</t>
  </si>
  <si>
    <t>Who are your target customers?</t>
  </si>
  <si>
    <t>EXISTING ALTERNATIVES</t>
  </si>
  <si>
    <t>8.  KEY METRICS</t>
  </si>
  <si>
    <t>HIGH-LEVEL CONCEPT</t>
  </si>
  <si>
    <t>5.  CHANNELS</t>
  </si>
  <si>
    <t>EARLY ADOPTERS</t>
  </si>
  <si>
    <t>How are these problems solved today?</t>
  </si>
  <si>
    <t>Key activities you measure.</t>
  </si>
  <si>
    <t>Your X-for-Y analogy (e.g. "YouTube for X").</t>
  </si>
  <si>
    <t>Your path to customers.</t>
  </si>
  <si>
    <t>Characteristics of your ideal early adopter.</t>
  </si>
  <si>
    <t>7.  COST STRUCTURE</t>
  </si>
  <si>
    <t>6.  REVENUE STREAMS</t>
  </si>
  <si>
    <t>Customer acquisition costs, distribution, hosting, people, etc.</t>
  </si>
  <si>
    <t>Revenue model, lifetime value, gross margin.</t>
  </si>
  <si>
    <t>Lean Canvas is adapted from The Business Model Canvas (businessmodelgeneration.com/canvas) and is licensed under the</t>
  </si>
  <si>
    <t>Creative Commons Attribution-Share Alike 3.0 Unported License — http://creativecommons.org/licenses/by-sa/3.0/</t>
  </si>
  <si>
    <t>Lean Canvas concept by Ash Maurya (leanstack.com). Course template prepared for MOR-531, USC Marshall School of Business.</t>
  </si>
  <si>
    <t>Completeness Check</t>
  </si>
  <si>
    <t>This tab updates itself. Before you submit, confirm every row below reads "Complete". Nothing here needs to be filled in by hand.</t>
  </si>
  <si>
    <t>Section</t>
  </si>
  <si>
    <t>Status</t>
  </si>
  <si>
    <t>Words</t>
  </si>
  <si>
    <t>What this section should answer</t>
  </si>
  <si>
    <t>Student Name</t>
  </si>
  <si>
    <t>Your full name.</t>
  </si>
  <si>
    <t>USC Email</t>
  </si>
  <si>
    <t>Your USC email address.</t>
  </si>
  <si>
    <t>Product / Venture</t>
  </si>
  <si>
    <t>The name of the product this canvas describes.</t>
  </si>
  <si>
    <t>Date</t>
  </si>
  <si>
    <t>Date submitted.</t>
  </si>
  <si>
    <t>Problem</t>
  </si>
  <si>
    <t>Solution</t>
  </si>
  <si>
    <t>Unique Value Proposition</t>
  </si>
  <si>
    <t>Unfair Advantage</t>
  </si>
  <si>
    <t>Customer Segments</t>
  </si>
  <si>
    <t>Existing Alternatives</t>
  </si>
  <si>
    <t>Key Metrics</t>
  </si>
  <si>
    <t>High-Level Concept</t>
  </si>
  <si>
    <t>Channels</t>
  </si>
  <si>
    <t>Early Adopters</t>
  </si>
  <si>
    <t>Cost Structure</t>
  </si>
  <si>
    <t>Revenue Streams</t>
  </si>
  <si>
    <t>Grading note: this canvas is read from the named ranges on the "Lean Canvas" tab. Please type into the boxes rather than adding text boxes, images, or extra sheets.</t>
  </si>
  <si>
    <t>Vivienne Gunadhi</t>
  </si>
  <si>
    <t>gunadhi@usc.edu</t>
  </si>
  <si>
    <t>September 15th, 2026</t>
  </si>
  <si>
    <t>SquadTrip</t>
  </si>
  <si>
    <t xml:space="preserve">SquadTrip is a unified platform that collects availability and preferences to plan a group trip without requiring fragmented tools and manual followups. </t>
  </si>
  <si>
    <t>1) Consistent and clear communication from everyone is difficult when planning a group trip.
2) While many apps exist for planning trips in a group, people rely on disconnected simpler/free tools to plan their trips inefficiently.
3) Compromising on plans due to budget and interests can be difficult.</t>
  </si>
  <si>
    <t>1) The product will serve as a platform that can propel decision making and planning, and nudge those who are not communicating as much. 
2) The product will serve as an easy-to-use platform with comprehensive features for trip pre-planning, so everyone has easy access to all materials.
3) The product will use AI integration to provide the best schedule based on submissions from each traveler. It will additionally assist with deciding split schedules.</t>
  </si>
  <si>
    <t xml:space="preserve"> User referrals 
Campus social media channels
 Social media advertisements </t>
  </si>
  <si>
    <t xml:space="preserve">Affiliates
Premium membership </t>
  </si>
  <si>
    <t>Hosting
Development/API costs
CAC
Payment processing</t>
  </si>
  <si>
    <t>Negotiator and planner for busy friends</t>
  </si>
  <si>
    <t xml:space="preserve">Direct access to the USC campus network for fast iteration and referrals, which will provide easy-access data to rapidly improve our matching algorithm. </t>
  </si>
  <si>
    <t xml:space="preserve">USC college students that travel with friends and peers
</t>
  </si>
  <si>
    <t>Using chat apps, notion, google suite to plan 
Reconfirming/discussing reactively only when plans change/don't work out due to circumstances
Manually reminding friends to respond
Travel planner apps (Wanderlog, TripProf, AvoSquado, Stippl) - competitors but potentially not used often</t>
  </si>
  <si>
    <t>1) % of trips planned to completion
2) time-to-decision for final plan
3) Retention/ % of users planning a second trip
4) rating of AI recommendations
4) ARPU - average revenue per user
5) CAC - Customer acquisition costs</t>
  </si>
  <si>
    <t>1) Primary: the default trip organizer. Adults in their late teens to 40s who plan leisure trips with friends and end up doing most of the coordinating (76% of our survey respondents said planning falls on one person or a small few).
2) Secondary: the friends the organizer invites by link, especially less-active planners, who submit preferences and votes.
Initial focus: friend groups of 3–6 traveling together.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</si>
</sst>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26"/>
      <color rgb="FF990000"/>
      <name val="Cambria"/>
      <family val="1"/>
    </font>
    <font>
      <i/>
      <sz val="10"/>
      <color rgb="FF6B6B6B"/>
      <name val="Calibri"/>
      <family val="2"/>
    </font>
    <font>
      <b/>
      <sz val="10"/>
      <color rgb="FF990000"/>
      <name val="Calibri"/>
      <family val="2"/>
    </font>
    <font>
      <sz val="11"/>
      <color rgb="FF1F1F1F"/>
      <name val="Calibri"/>
      <family val="2"/>
    </font>
    <font>
      <b/>
      <sz val="10"/>
      <color rgb="FFFFFFFF"/>
      <name val="Calibri"/>
      <family val="2"/>
    </font>
    <font>
      <i/>
      <sz val="8"/>
      <color rgb="FF6B6B6B"/>
      <name val="Calibri"/>
      <family val="2"/>
    </font>
    <font>
      <sz val="8"/>
      <color rgb="FF6B6B6B"/>
      <name val="Calibri"/>
      <family val="2"/>
    </font>
    <font>
      <b/>
      <sz val="18"/>
      <color rgb="FF990000"/>
      <name val="Cambria"/>
      <family val="1"/>
    </font>
    <font>
      <b/>
      <sz val="10"/>
      <color rgb="FF1F1F1F"/>
      <name val="Calibri"/>
      <family val="2"/>
    </font>
    <font>
      <sz val="10"/>
      <name val="Calibri"/>
      <family val="2"/>
    </font>
    <font>
      <sz val="9"/>
      <color rgb="FF6B6B6B"/>
      <name val="Calibri"/>
      <family val="2"/>
    </font>
    <font>
      <i/>
      <sz val="9"/>
      <color rgb="FF990000"/>
      <name val="Calibri"/>
      <family val="2"/>
    </font>
  </fonts>
  <fills count="5">
    <fill>
      <patternFill patternType="none"/>
    </fill>
    <fill>
      <patternFill patternType="gray125"/>
    </fill>
    <fill>
      <patternFill patternType="solid">
        <fgColor rgb="FFFFFFFF"/>
      </patternFill>
    </fill>
    <fill>
      <patternFill patternType="solid">
        <fgColor rgb="FF990000"/>
      </patternFill>
    </fill>
    <fill>
      <patternFill patternType="solid">
        <fgColor rgb="FFF4F4F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medium">
        <color rgb="FF990000"/>
      </left>
      <right style="medium">
        <color rgb="FF990000"/>
      </right>
      <top style="medium">
        <color rgb="FF990000"/>
      </top>
      <bottom style="medium">
        <color rgb="FF990000"/>
      </bottom>
      <diagonal/>
    </border>
  </borders>
  <cellStyleXfs count="1">
    <xf numFmtId="0" fontId="0" fillId="0" borderId="0"/>
  </cellStyleXfs>
  <cellXfs count="23">
    <xf numFmtId="0" fontId="0" fillId="0" borderId="0" xfId="0"/>
    <xf numFmtId="0" fontId="3" fillId="0" borderId="0" xfId="0" applyFont="1" applyAlignment="1">
      <alignment horizontal="right" vertical="center"/>
    </xf>
    <xf numFmtId="0" fontId="5" fillId="3" borderId="0" xfId="0" applyFont="1" applyFill="1" applyAlignment="1">
      <alignment horizontal="left" vertical="center" indent="1"/>
    </xf>
    <xf numFmtId="0" fontId="9" fillId="0" borderId="1" xfId="0" applyFont="1" applyBorder="1"/>
    <xf numFmtId="0" fontId="10" fillId="0" borderId="1" xfId="0" applyFont="1" applyBorder="1" applyAlignment="1">
      <alignment horizontal="center"/>
    </xf>
    <xf numFmtId="0" fontId="11" fillId="0" borderId="1" xfId="0" applyFont="1" applyBorder="1" applyAlignment="1">
      <alignment vertical="center" indent="1"/>
    </xf>
    <xf numFmtId="0" fontId="1" fillId="0" borderId="0" xfId="0" applyFont="1" applyAlignment="1">
      <alignment vertical="center"/>
    </xf>
    <xf numFmtId="0" fontId="0" fillId="0" borderId="0" xfId="0"/>
    <xf numFmtId="0" fontId="4" fillId="2" borderId="1" xfId="0" applyFont="1" applyFill="1" applyBorder="1" applyAlignment="1" applyProtection="1">
      <alignment vertical="center" indent="1"/>
      <protection locked="0"/>
    </xf>
    <xf numFmtId="0" fontId="0" fillId="0" borderId="1" xfId="0" applyBorder="1" applyProtection="1">
      <protection locked="0"/>
    </xf>
    <xf numFmtId="0" fontId="6" fillId="4" borderId="2" xfId="0" applyFont="1" applyFill="1" applyBorder="1" applyAlignment="1">
      <alignment vertical="center" wrapText="1" indent="1"/>
    </xf>
    <xf numFmtId="0" fontId="0" fillId="4" borderId="2" xfId="0" applyFill="1" applyBorder="1"/>
    <xf numFmtId="0" fontId="4" fillId="2" borderId="2" xfId="0" applyFont="1" applyFill="1" applyBorder="1" applyAlignment="1" applyProtection="1">
      <alignment vertical="top" wrapText="1" indent="1"/>
      <protection locked="0"/>
    </xf>
    <xf numFmtId="0" fontId="0" fillId="2" borderId="2" xfId="0" applyFill="1" applyBorder="1" applyProtection="1">
      <protection locked="0"/>
    </xf>
    <xf numFmtId="0" fontId="5" fillId="3" borderId="2" xfId="0" applyFont="1" applyFill="1" applyBorder="1" applyAlignment="1">
      <alignment horizontal="left" vertical="center" indent="1"/>
    </xf>
    <xf numFmtId="0" fontId="0" fillId="3" borderId="2" xfId="0" applyFill="1" applyBorder="1"/>
    <xf numFmtId="0" fontId="7" fillId="0" borderId="0" xfId="0" applyFont="1"/>
    <xf numFmtId="0" fontId="2" fillId="0" borderId="0" xfId="0" applyFont="1" applyAlignment="1">
      <alignment vertical="center"/>
    </xf>
    <xf numFmtId="0" fontId="4" fillId="0" borderId="2" xfId="0" applyFont="1" applyBorder="1" applyAlignment="1" applyProtection="1">
      <alignment vertical="top" wrapText="1" indent="1"/>
      <protection locked="0"/>
    </xf>
    <xf numFmtId="0" fontId="0" fillId="0" borderId="2" xfId="0" applyBorder="1" applyProtection="1">
      <protection locked="0"/>
    </xf>
    <xf numFmtId="0" fontId="8" fillId="0" borderId="0" xfId="0" applyFont="1"/>
    <xf numFmtId="0" fontId="12" fillId="0" borderId="0" xfId="0" applyFont="1"/>
    <xf numFmtId="0" fontId="2" fillId="0" borderId="0" xfId="0" applyFont="1"/>
  </cellXfs>
  <cellStyles count="1">
    <cellStyle name="Normal" xfId="0" builtinId="0"/>
  </cellStyles>
  <dxfs count="2">
    <dxf>
      <font>
        <color rgb="FF2C6E49"/>
      </font>
      <fill>
        <patternFill patternType="solid">
          <fgColor rgb="FFD6E9D3"/>
        </patternFill>
      </fill>
    </dxf>
    <dxf>
      <font>
        <b/>
        <color rgb="FF9C0006"/>
      </font>
      <fill>
        <patternFill patternType="solid">
          <f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K40"/>
  <sheetViews>
    <sheetView showGridLines="0" tabSelected="1" workbookViewId="0">
      <selection activeCell="J21" sqref="J21:K27"/>
    </sheetView>
  </sheetViews>
  <sheetFormatPr baseColWidth="10" defaultColWidth="8.83203125" defaultRowHeight="15" x14ac:dyDescent="0.2"/>
  <cols>
    <col min="1" max="1" width="2.5" customWidth="1"/>
    <col min="2" max="2" width="15.5" customWidth="1"/>
    <col min="3" max="3" width="15.83203125" customWidth="1"/>
    <col min="4" max="11" width="15.5" customWidth="1"/>
    <col min="12" max="12" width="2.5" customWidth="1"/>
  </cols>
  <sheetData>
    <row r="1" spans="2:11" ht="34" customHeight="1" x14ac:dyDescent="0.2">
      <c r="B1" s="6" t="s">
        <v>0</v>
      </c>
      <c r="C1" s="7"/>
      <c r="D1" s="7"/>
      <c r="E1" s="7"/>
      <c r="F1" s="7"/>
      <c r="G1" s="7"/>
      <c r="H1" s="7"/>
      <c r="I1" s="7"/>
      <c r="J1" s="7"/>
      <c r="K1" s="7"/>
    </row>
    <row r="2" spans="2:11" ht="16" customHeight="1" x14ac:dyDescent="0.2">
      <c r="B2" s="17" t="s">
        <v>1</v>
      </c>
      <c r="C2" s="7"/>
      <c r="D2" s="7"/>
      <c r="E2" s="7"/>
      <c r="F2" s="7"/>
      <c r="G2" s="7"/>
      <c r="H2" s="7"/>
      <c r="I2" s="7"/>
      <c r="J2" s="7"/>
      <c r="K2" s="7"/>
    </row>
    <row r="4" spans="2:11" ht="20" customHeight="1" x14ac:dyDescent="0.2">
      <c r="B4" s="1" t="s">
        <v>2</v>
      </c>
      <c r="C4" s="8" t="s">
        <v>60</v>
      </c>
      <c r="D4" s="9"/>
      <c r="E4" s="9"/>
      <c r="F4" s="1" t="s">
        <v>3</v>
      </c>
      <c r="G4" s="8" t="s">
        <v>61</v>
      </c>
      <c r="H4" s="9"/>
      <c r="I4" s="9"/>
      <c r="J4" s="9"/>
      <c r="K4" s="9"/>
    </row>
    <row r="5" spans="2:11" ht="20" customHeight="1" x14ac:dyDescent="0.2">
      <c r="B5" s="1" t="s">
        <v>4</v>
      </c>
      <c r="C5" s="8" t="s">
        <v>63</v>
      </c>
      <c r="D5" s="9"/>
      <c r="E5" s="9"/>
      <c r="F5" s="1" t="s">
        <v>5</v>
      </c>
      <c r="G5" s="8" t="s">
        <v>62</v>
      </c>
      <c r="H5" s="9"/>
      <c r="I5" s="9"/>
      <c r="J5" s="9"/>
      <c r="K5" s="9"/>
    </row>
    <row r="8" spans="2:11" ht="18" customHeight="1" x14ac:dyDescent="0.2">
      <c r="B8" s="14" t="s">
        <v>6</v>
      </c>
      <c r="C8" s="15"/>
      <c r="D8" s="14" t="s">
        <v>7</v>
      </c>
      <c r="E8" s="15"/>
      <c r="F8" s="14" t="s">
        <v>8</v>
      </c>
      <c r="G8" s="15"/>
      <c r="H8" s="14" t="s">
        <v>9</v>
      </c>
      <c r="I8" s="15"/>
      <c r="J8" s="14" t="s">
        <v>10</v>
      </c>
      <c r="K8" s="15"/>
    </row>
    <row r="9" spans="2:11" ht="22" customHeight="1" x14ac:dyDescent="0.2">
      <c r="B9" s="10" t="s">
        <v>11</v>
      </c>
      <c r="C9" s="11"/>
      <c r="D9" s="10" t="s">
        <v>12</v>
      </c>
      <c r="E9" s="11"/>
      <c r="F9" s="10" t="s">
        <v>13</v>
      </c>
      <c r="G9" s="11"/>
      <c r="H9" s="10" t="s">
        <v>14</v>
      </c>
      <c r="I9" s="11"/>
      <c r="J9" s="10" t="s">
        <v>15</v>
      </c>
      <c r="K9" s="11"/>
    </row>
    <row r="10" spans="2:11" ht="15" customHeight="1" x14ac:dyDescent="0.2">
      <c r="B10" s="12" t="s">
        <v>65</v>
      </c>
      <c r="C10" s="13"/>
      <c r="D10" s="12" t="s">
        <v>66</v>
      </c>
      <c r="E10" s="13"/>
      <c r="F10" s="12" t="s">
        <v>64</v>
      </c>
      <c r="G10" s="13"/>
      <c r="H10" s="12" t="s">
        <v>71</v>
      </c>
      <c r="I10" s="13"/>
      <c r="J10" s="18" t="s">
        <v>75</v>
      </c>
      <c r="K10" s="19"/>
    </row>
    <row r="11" spans="2:11" ht="15" customHeight="1" x14ac:dyDescent="0.2">
      <c r="B11" s="13"/>
      <c r="C11" s="13"/>
      <c r="D11" s="13"/>
      <c r="E11" s="13"/>
      <c r="F11" s="13"/>
      <c r="G11" s="13"/>
      <c r="H11" s="13"/>
      <c r="I11" s="13"/>
      <c r="J11" s="19"/>
      <c r="K11" s="19"/>
    </row>
    <row r="12" spans="2:11" ht="15" customHeight="1" x14ac:dyDescent="0.2">
      <c r="B12" s="13"/>
      <c r="C12" s="13"/>
      <c r="D12" s="13"/>
      <c r="E12" s="13"/>
      <c r="F12" s="13"/>
      <c r="G12" s="13"/>
      <c r="H12" s="13"/>
      <c r="I12" s="13"/>
      <c r="J12" s="19"/>
      <c r="K12" s="19"/>
    </row>
    <row r="13" spans="2:11" ht="15" customHeight="1" x14ac:dyDescent="0.2">
      <c r="B13" s="13"/>
      <c r="C13" s="13"/>
      <c r="D13" s="13"/>
      <c r="E13" s="13"/>
      <c r="F13" s="13"/>
      <c r="G13" s="13"/>
      <c r="H13" s="13"/>
      <c r="I13" s="13"/>
      <c r="J13" s="19"/>
      <c r="K13" s="19"/>
    </row>
    <row r="14" spans="2:11" ht="15" customHeight="1" x14ac:dyDescent="0.2">
      <c r="B14" s="13"/>
      <c r="C14" s="13"/>
      <c r="D14" s="13"/>
      <c r="E14" s="13"/>
      <c r="F14" s="13"/>
      <c r="G14" s="13"/>
      <c r="H14" s="13"/>
      <c r="I14" s="13"/>
      <c r="J14" s="19"/>
      <c r="K14" s="19"/>
    </row>
    <row r="15" spans="2:11" ht="15" customHeight="1" x14ac:dyDescent="0.2">
      <c r="B15" s="13"/>
      <c r="C15" s="13"/>
      <c r="D15" s="13"/>
      <c r="E15" s="13"/>
      <c r="F15" s="13"/>
      <c r="G15" s="13"/>
      <c r="H15" s="13"/>
      <c r="I15" s="13"/>
      <c r="J15" s="19"/>
      <c r="K15" s="19"/>
    </row>
    <row r="16" spans="2:11" ht="15" customHeight="1" x14ac:dyDescent="0.2">
      <c r="B16" s="13"/>
      <c r="C16" s="13"/>
      <c r="D16" s="13"/>
      <c r="E16" s="13"/>
      <c r="F16" s="13"/>
      <c r="G16" s="13"/>
      <c r="H16" s="13"/>
      <c r="I16" s="13"/>
      <c r="J16" s="19"/>
      <c r="K16" s="19"/>
    </row>
    <row r="17" spans="2:11" ht="15" customHeight="1" x14ac:dyDescent="0.2">
      <c r="B17" s="13"/>
      <c r="C17" s="13"/>
      <c r="D17" s="13"/>
      <c r="E17" s="13"/>
      <c r="F17" s="13"/>
      <c r="G17" s="13"/>
      <c r="H17" s="13"/>
      <c r="I17" s="13"/>
      <c r="J17" s="19"/>
      <c r="K17" s="19"/>
    </row>
    <row r="18" spans="2:11" ht="90" customHeight="1" x14ac:dyDescent="0.2">
      <c r="B18" s="13"/>
      <c r="C18" s="13"/>
      <c r="D18" s="13"/>
      <c r="E18" s="13"/>
      <c r="F18" s="13"/>
      <c r="G18" s="13"/>
      <c r="H18" s="13"/>
      <c r="I18" s="13"/>
      <c r="J18" s="19"/>
      <c r="K18" s="19"/>
    </row>
    <row r="19" spans="2:11" ht="34" customHeight="1" x14ac:dyDescent="0.2">
      <c r="B19" s="14" t="s">
        <v>16</v>
      </c>
      <c r="C19" s="15"/>
      <c r="D19" s="14" t="s">
        <v>17</v>
      </c>
      <c r="E19" s="15"/>
      <c r="F19" s="14" t="s">
        <v>18</v>
      </c>
      <c r="G19" s="15"/>
      <c r="H19" s="14" t="s">
        <v>19</v>
      </c>
      <c r="I19" s="15"/>
      <c r="J19" s="14" t="s">
        <v>20</v>
      </c>
      <c r="K19" s="15"/>
    </row>
    <row r="20" spans="2:11" ht="22" customHeight="1" x14ac:dyDescent="0.2">
      <c r="B20" s="10" t="s">
        <v>21</v>
      </c>
      <c r="C20" s="11"/>
      <c r="D20" s="10" t="s">
        <v>22</v>
      </c>
      <c r="E20" s="11"/>
      <c r="F20" s="10" t="s">
        <v>23</v>
      </c>
      <c r="G20" s="11"/>
      <c r="H20" s="10" t="s">
        <v>24</v>
      </c>
      <c r="I20" s="11"/>
      <c r="J20" s="10" t="s">
        <v>25</v>
      </c>
      <c r="K20" s="11"/>
    </row>
    <row r="21" spans="2:11" ht="15" customHeight="1" x14ac:dyDescent="0.2">
      <c r="B21" s="12" t="s">
        <v>73</v>
      </c>
      <c r="C21" s="13"/>
      <c r="D21" s="12" t="s">
        <v>74</v>
      </c>
      <c r="E21" s="13"/>
      <c r="F21" s="12" t="s">
        <v>70</v>
      </c>
      <c r="G21" s="13"/>
      <c r="H21" s="12" t="s">
        <v>67</v>
      </c>
      <c r="I21" s="13"/>
      <c r="J21" s="12" t="s">
        <v>72</v>
      </c>
      <c r="K21" s="13"/>
    </row>
    <row r="22" spans="2:11" ht="15" customHeight="1" x14ac:dyDescent="0.2">
      <c r="B22" s="13"/>
      <c r="C22" s="13"/>
      <c r="D22" s="13"/>
      <c r="E22" s="13"/>
      <c r="F22" s="13"/>
      <c r="G22" s="13"/>
      <c r="H22" s="13"/>
      <c r="I22" s="13"/>
      <c r="J22" s="13"/>
      <c r="K22" s="13"/>
    </row>
    <row r="23" spans="2:11" ht="15" customHeight="1" x14ac:dyDescent="0.2">
      <c r="B23" s="13"/>
      <c r="C23" s="13"/>
      <c r="D23" s="13"/>
      <c r="E23" s="13"/>
      <c r="F23" s="13"/>
      <c r="G23" s="13"/>
      <c r="H23" s="13"/>
      <c r="I23" s="13"/>
      <c r="J23" s="13"/>
      <c r="K23" s="13"/>
    </row>
    <row r="24" spans="2:11" ht="15" customHeight="1" x14ac:dyDescent="0.2">
      <c r="B24" s="13"/>
      <c r="C24" s="13"/>
      <c r="D24" s="13"/>
      <c r="E24" s="13"/>
      <c r="F24" s="13"/>
      <c r="G24" s="13"/>
      <c r="H24" s="13"/>
      <c r="I24" s="13"/>
      <c r="J24" s="13"/>
      <c r="K24" s="13"/>
    </row>
    <row r="25" spans="2:11" ht="15" customHeight="1" x14ac:dyDescent="0.2">
      <c r="B25" s="13"/>
      <c r="C25" s="13"/>
      <c r="D25" s="13"/>
      <c r="E25" s="13"/>
      <c r="F25" s="13"/>
      <c r="G25" s="13"/>
      <c r="H25" s="13"/>
      <c r="I25" s="13"/>
      <c r="J25" s="13"/>
      <c r="K25" s="13"/>
    </row>
    <row r="26" spans="2:11" ht="15" customHeight="1" x14ac:dyDescent="0.2">
      <c r="B26" s="13"/>
      <c r="C26" s="13"/>
      <c r="D26" s="13"/>
      <c r="E26" s="13"/>
      <c r="F26" s="13"/>
      <c r="G26" s="13"/>
      <c r="H26" s="13"/>
      <c r="I26" s="13"/>
      <c r="J26" s="13"/>
      <c r="K26" s="13"/>
    </row>
    <row r="27" spans="2:11" ht="63" customHeight="1" x14ac:dyDescent="0.2">
      <c r="B27" s="13"/>
      <c r="C27" s="13"/>
      <c r="D27" s="13"/>
      <c r="E27" s="13"/>
      <c r="F27" s="13"/>
      <c r="G27" s="13"/>
      <c r="H27" s="13"/>
      <c r="I27" s="13"/>
      <c r="J27" s="13"/>
      <c r="K27" s="13"/>
    </row>
    <row r="28" spans="2:11" ht="15" customHeight="1" x14ac:dyDescent="0.2"/>
    <row r="29" spans="2:11" ht="18" customHeight="1" x14ac:dyDescent="0.2">
      <c r="B29" s="14" t="s">
        <v>26</v>
      </c>
      <c r="C29" s="15"/>
      <c r="D29" s="15"/>
      <c r="E29" s="15"/>
      <c r="F29" s="15"/>
      <c r="G29" s="14" t="s">
        <v>27</v>
      </c>
      <c r="H29" s="15"/>
      <c r="I29" s="15"/>
      <c r="J29" s="15"/>
      <c r="K29" s="15"/>
    </row>
    <row r="30" spans="2:11" ht="22" customHeight="1" x14ac:dyDescent="0.2">
      <c r="B30" s="10" t="s">
        <v>28</v>
      </c>
      <c r="C30" s="11"/>
      <c r="D30" s="11"/>
      <c r="E30" s="11"/>
      <c r="F30" s="11"/>
      <c r="G30" s="10" t="s">
        <v>29</v>
      </c>
      <c r="H30" s="11"/>
      <c r="I30" s="11"/>
      <c r="J30" s="11"/>
      <c r="K30" s="11"/>
    </row>
    <row r="31" spans="2:11" ht="15" customHeight="1" x14ac:dyDescent="0.2">
      <c r="B31" s="12" t="s">
        <v>69</v>
      </c>
      <c r="C31" s="13"/>
      <c r="D31" s="13"/>
      <c r="E31" s="13"/>
      <c r="F31" s="13"/>
      <c r="G31" s="12" t="s">
        <v>68</v>
      </c>
      <c r="H31" s="13"/>
      <c r="I31" s="13"/>
      <c r="J31" s="13"/>
      <c r="K31" s="13"/>
    </row>
    <row r="32" spans="2:11" ht="15" customHeight="1" x14ac:dyDescent="0.2">
      <c r="B32" s="13"/>
      <c r="C32" s="13"/>
      <c r="D32" s="13"/>
      <c r="E32" s="13"/>
      <c r="F32" s="13"/>
      <c r="G32" s="13"/>
      <c r="H32" s="13"/>
      <c r="I32" s="13"/>
      <c r="J32" s="13"/>
      <c r="K32" s="13"/>
    </row>
    <row r="33" spans="2:11" ht="15" customHeight="1" x14ac:dyDescent="0.2">
      <c r="B33" s="13"/>
      <c r="C33" s="13"/>
      <c r="D33" s="13"/>
      <c r="E33" s="13"/>
      <c r="F33" s="13"/>
      <c r="G33" s="13"/>
      <c r="H33" s="13"/>
      <c r="I33" s="13"/>
      <c r="J33" s="13"/>
      <c r="K33" s="13"/>
    </row>
    <row r="34" spans="2:11" ht="15" customHeight="1" x14ac:dyDescent="0.2">
      <c r="B34" s="13"/>
      <c r="C34" s="13"/>
      <c r="D34" s="13"/>
      <c r="E34" s="13"/>
      <c r="F34" s="13"/>
      <c r="G34" s="13"/>
      <c r="H34" s="13"/>
      <c r="I34" s="13"/>
      <c r="J34" s="13"/>
      <c r="K34" s="13"/>
    </row>
    <row r="35" spans="2:11" ht="15" customHeight="1" x14ac:dyDescent="0.2">
      <c r="B35" s="13"/>
      <c r="C35" s="13"/>
      <c r="D35" s="13"/>
      <c r="E35" s="13"/>
      <c r="F35" s="13"/>
      <c r="G35" s="13"/>
      <c r="H35" s="13"/>
      <c r="I35" s="13"/>
      <c r="J35" s="13"/>
      <c r="K35" s="13"/>
    </row>
    <row r="36" spans="2:11" ht="15" customHeight="1" x14ac:dyDescent="0.2">
      <c r="B36" s="13"/>
      <c r="C36" s="13"/>
      <c r="D36" s="13"/>
      <c r="E36" s="13"/>
      <c r="F36" s="13"/>
      <c r="G36" s="13"/>
      <c r="H36" s="13"/>
      <c r="I36" s="13"/>
      <c r="J36" s="13"/>
      <c r="K36" s="13"/>
    </row>
    <row r="38" spans="2:11" x14ac:dyDescent="0.2">
      <c r="B38" s="16" t="s">
        <v>30</v>
      </c>
      <c r="C38" s="7"/>
      <c r="D38" s="7"/>
      <c r="E38" s="7"/>
      <c r="F38" s="7"/>
      <c r="G38" s="7"/>
      <c r="H38" s="7"/>
      <c r="I38" s="7"/>
      <c r="J38" s="7"/>
      <c r="K38" s="7"/>
    </row>
    <row r="39" spans="2:11" x14ac:dyDescent="0.2">
      <c r="B39" s="16" t="s">
        <v>31</v>
      </c>
      <c r="C39" s="7"/>
      <c r="D39" s="7"/>
      <c r="E39" s="7"/>
      <c r="F39" s="7"/>
      <c r="G39" s="7"/>
      <c r="H39" s="7"/>
      <c r="I39" s="7"/>
      <c r="J39" s="7"/>
      <c r="K39" s="7"/>
    </row>
    <row r="40" spans="2:11" x14ac:dyDescent="0.2">
      <c r="B40" s="16" t="s">
        <v>32</v>
      </c>
      <c r="C40" s="7"/>
      <c r="D40" s="7"/>
      <c r="E40" s="7"/>
      <c r="F40" s="7"/>
      <c r="G40" s="7"/>
      <c r="H40" s="7"/>
      <c r="I40" s="7"/>
      <c r="J40" s="7"/>
      <c r="K40" s="7"/>
    </row>
  </sheetData>
  <sheetProtection sheet="1" formatCells="0" formatColumns="0" formatRows="0"/>
  <mergeCells count="45">
    <mergeCell ref="B40:K40"/>
    <mergeCell ref="F19:G19"/>
    <mergeCell ref="J19:K19"/>
    <mergeCell ref="G30:K30"/>
    <mergeCell ref="H21:I27"/>
    <mergeCell ref="B19:C19"/>
    <mergeCell ref="H19:I19"/>
    <mergeCell ref="H9:I9"/>
    <mergeCell ref="J21:K27"/>
    <mergeCell ref="J9:K9"/>
    <mergeCell ref="B21:C27"/>
    <mergeCell ref="D10:E18"/>
    <mergeCell ref="F20:G20"/>
    <mergeCell ref="D21:E27"/>
    <mergeCell ref="F10:G18"/>
    <mergeCell ref="H10:I18"/>
    <mergeCell ref="J10:K18"/>
    <mergeCell ref="D20:E20"/>
    <mergeCell ref="H20:I20"/>
    <mergeCell ref="D19:E19"/>
    <mergeCell ref="B39:K39"/>
    <mergeCell ref="B2:K2"/>
    <mergeCell ref="B9:C9"/>
    <mergeCell ref="G31:K36"/>
    <mergeCell ref="D9:E9"/>
    <mergeCell ref="F21:G27"/>
    <mergeCell ref="F9:G9"/>
    <mergeCell ref="G4:K4"/>
    <mergeCell ref="D8:E8"/>
    <mergeCell ref="B30:F30"/>
    <mergeCell ref="B31:F36"/>
    <mergeCell ref="G29:K29"/>
    <mergeCell ref="B38:K38"/>
    <mergeCell ref="B8:C8"/>
    <mergeCell ref="F8:G8"/>
    <mergeCell ref="B29:F29"/>
    <mergeCell ref="B1:K1"/>
    <mergeCell ref="C5:E5"/>
    <mergeCell ref="B20:C20"/>
    <mergeCell ref="B10:C18"/>
    <mergeCell ref="C4:E4"/>
    <mergeCell ref="H8:I8"/>
    <mergeCell ref="J8:K8"/>
    <mergeCell ref="G5:K5"/>
    <mergeCell ref="J20:K20"/>
  </mergeCell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E22"/>
  <sheetViews>
    <sheetView showGridLines="0" workbookViewId="0"/>
  </sheetViews>
  <sheetFormatPr baseColWidth="10" defaultColWidth="8.83203125" defaultRowHeight="15" x14ac:dyDescent="0.2"/>
  <cols>
    <col min="1" max="1" width="2.5" customWidth="1"/>
    <col min="2" max="2" width="30" customWidth="1"/>
    <col min="3" max="3" width="16" customWidth="1"/>
    <col min="4" max="4" width="12" customWidth="1"/>
    <col min="5" max="5" width="58" customWidth="1"/>
  </cols>
  <sheetData>
    <row r="1" spans="2:5" ht="26" customHeight="1" x14ac:dyDescent="0.25">
      <c r="B1" s="20" t="s">
        <v>33</v>
      </c>
      <c r="C1" s="7"/>
      <c r="D1" s="7"/>
      <c r="E1" s="7"/>
    </row>
    <row r="2" spans="2:5" x14ac:dyDescent="0.2">
      <c r="B2" s="22" t="s">
        <v>34</v>
      </c>
      <c r="C2" s="7"/>
      <c r="D2" s="7"/>
      <c r="E2" s="7"/>
    </row>
    <row r="4" spans="2:5" ht="18" customHeight="1" x14ac:dyDescent="0.2">
      <c r="B4" s="2" t="s">
        <v>35</v>
      </c>
      <c r="C4" s="2" t="s">
        <v>36</v>
      </c>
      <c r="D4" s="2" t="s">
        <v>37</v>
      </c>
      <c r="E4" s="2" t="s">
        <v>38</v>
      </c>
    </row>
    <row r="5" spans="2:5" ht="16" customHeight="1" x14ac:dyDescent="0.2">
      <c r="B5" s="3" t="s">
        <v>39</v>
      </c>
      <c r="C5" s="4" t="str">
        <f>IF(LEN(TRIM(StudentName))=0,"MISSING","Complete")</f>
        <v>Complete</v>
      </c>
      <c r="D5" s="4">
        <f>IF(LEN(TRIM(StudentName))=0,0,LEN(TRIM(StudentName))-LEN(SUBSTITUTE(TRIM(StudentName)," ",""))+1)</f>
        <v>2</v>
      </c>
      <c r="E5" s="5" t="s">
        <v>40</v>
      </c>
    </row>
    <row r="6" spans="2:5" ht="16" customHeight="1" x14ac:dyDescent="0.2">
      <c r="B6" s="3" t="s">
        <v>41</v>
      </c>
      <c r="C6" s="4" t="str">
        <f>IF(LEN(TRIM(StudentEmail))=0,"MISSING","Complete")</f>
        <v>Complete</v>
      </c>
      <c r="D6" s="4">
        <f>IF(LEN(TRIM(StudentEmail))=0,0,LEN(TRIM(StudentEmail))-LEN(SUBSTITUTE(TRIM(StudentEmail)," ",""))+1)</f>
        <v>1</v>
      </c>
      <c r="E6" s="5" t="s">
        <v>42</v>
      </c>
    </row>
    <row r="7" spans="2:5" ht="16" customHeight="1" x14ac:dyDescent="0.2">
      <c r="B7" s="3" t="s">
        <v>43</v>
      </c>
      <c r="C7" s="4" t="str">
        <f>IF(LEN(TRIM(ProductName))=0,"MISSING","Complete")</f>
        <v>Complete</v>
      </c>
      <c r="D7" s="4">
        <f>IF(LEN(TRIM(ProductName))=0,0,LEN(TRIM(ProductName))-LEN(SUBSTITUTE(TRIM(ProductName)," ",""))+1)</f>
        <v>1</v>
      </c>
      <c r="E7" s="5" t="s">
        <v>44</v>
      </c>
    </row>
    <row r="8" spans="2:5" ht="16" customHeight="1" x14ac:dyDescent="0.2">
      <c r="B8" s="3" t="s">
        <v>45</v>
      </c>
      <c r="C8" s="4" t="str">
        <f>IF(LEN(TRIM(SubmissionDate))=0,"MISSING","Complete")</f>
        <v>Complete</v>
      </c>
      <c r="D8" s="4">
        <f>IF(LEN(TRIM(SubmissionDate))=0,0,LEN(TRIM(SubmissionDate))-LEN(SUBSTITUTE(TRIM(SubmissionDate)," ",""))+1)</f>
        <v>3</v>
      </c>
      <c r="E8" s="5" t="s">
        <v>46</v>
      </c>
    </row>
    <row r="9" spans="2:5" ht="16" customHeight="1" x14ac:dyDescent="0.2">
      <c r="B9" s="3" t="s">
        <v>47</v>
      </c>
      <c r="C9" s="4" t="str">
        <f>IF(LEN(TRIM(Problem))=0,"MISSING","Complete")</f>
        <v>Complete</v>
      </c>
      <c r="D9" s="4">
        <f>IF(LEN(TRIM(Problem))=0,0,LEN(TRIM(Problem))-LEN(SUBSTITUTE(TRIM(Problem)," ",""))+1)</f>
        <v>46</v>
      </c>
      <c r="E9" s="5" t="s">
        <v>11</v>
      </c>
    </row>
    <row r="10" spans="2:5" ht="16" customHeight="1" x14ac:dyDescent="0.2">
      <c r="B10" s="3" t="s">
        <v>48</v>
      </c>
      <c r="C10" s="4" t="str">
        <f>IF(LEN(TRIM(Solution))=0,"MISSING","Complete")</f>
        <v>Complete</v>
      </c>
      <c r="D10" s="4">
        <f>IF(LEN(TRIM(Solution))=0,0,LEN(TRIM(Solution))-LEN(SUBSTITUTE(TRIM(Solution)," ",""))+1)</f>
        <v>72</v>
      </c>
      <c r="E10" s="5" t="s">
        <v>12</v>
      </c>
    </row>
    <row r="11" spans="2:5" ht="16" customHeight="1" x14ac:dyDescent="0.2">
      <c r="B11" s="3" t="s">
        <v>49</v>
      </c>
      <c r="C11" s="4" t="str">
        <f>IF(LEN(TRIM(UniqueValueProp))=0,"MISSING","Complete")</f>
        <v>Complete</v>
      </c>
      <c r="D11" s="4">
        <f>IF(LEN(TRIM(UniqueValueProp))=0,0,LEN(TRIM(UniqueValueProp))-LEN(SUBSTITUTE(TRIM(UniqueValueProp)," ",""))+1)</f>
        <v>22</v>
      </c>
      <c r="E11" s="5" t="s">
        <v>13</v>
      </c>
    </row>
    <row r="12" spans="2:5" ht="16" customHeight="1" x14ac:dyDescent="0.2">
      <c r="B12" s="3" t="s">
        <v>50</v>
      </c>
      <c r="C12" s="4" t="str">
        <f>IF(LEN(TRIM(UnfairAdvantage))=0,"MISSING","Complete")</f>
        <v>Complete</v>
      </c>
      <c r="D12" s="4">
        <f>IF(LEN(TRIM(UnfairAdvantage))=0,0,LEN(TRIM(UnfairAdvantage))-LEN(SUBSTITUTE(TRIM(UnfairAdvantage)," ",""))+1)</f>
        <v>23</v>
      </c>
      <c r="E12" s="5" t="s">
        <v>14</v>
      </c>
    </row>
    <row r="13" spans="2:5" ht="16" customHeight="1" x14ac:dyDescent="0.2">
      <c r="B13" s="3" t="s">
        <v>51</v>
      </c>
      <c r="C13" s="4" t="str">
        <f>IF(LEN(TRIM(CustomerSegments))=0,"MISSING","Complete")</f>
        <v>Complete</v>
      </c>
      <c r="D13" s="4">
        <f>IF(LEN(TRIM(CustomerSegments))=0,0,LEN(TRIM(CustomerSegments))-LEN(SUBSTITUTE(TRIM(CustomerSegments)," ",""))+1)</f>
        <v>65</v>
      </c>
      <c r="E13" s="5" t="s">
        <v>15</v>
      </c>
    </row>
    <row r="14" spans="2:5" ht="16" customHeight="1" x14ac:dyDescent="0.2">
      <c r="B14" s="3" t="s">
        <v>52</v>
      </c>
      <c r="C14" s="4" t="str">
        <f>IF(LEN(TRIM(ExistingAlternatives))=0,"MISSING","Complete")</f>
        <v>Complete</v>
      </c>
      <c r="D14" s="4">
        <f>IF(LEN(TRIM(ExistingAlternatives))=0,0,LEN(TRIM(ExistingAlternatives))-LEN(SUBSTITUTE(TRIM(ExistingAlternatives)," ",""))+1)</f>
        <v>36</v>
      </c>
      <c r="E14" s="5" t="s">
        <v>21</v>
      </c>
    </row>
    <row r="15" spans="2:5" ht="16" customHeight="1" x14ac:dyDescent="0.2">
      <c r="B15" s="3" t="s">
        <v>53</v>
      </c>
      <c r="C15" s="4" t="str">
        <f>IF(LEN(TRIM(KeyMetrics))=0,"MISSING","Complete")</f>
        <v>Complete</v>
      </c>
      <c r="D15" s="4">
        <f>IF(LEN(TRIM(KeyMetrics))=0,0,LEN(TRIM(KeyMetrics))-LEN(SUBSTITUTE(TRIM(KeyMetrics)," ",""))+1)</f>
        <v>34</v>
      </c>
      <c r="E15" s="5" t="s">
        <v>22</v>
      </c>
    </row>
    <row r="16" spans="2:5" ht="16" customHeight="1" x14ac:dyDescent="0.2">
      <c r="B16" s="3" t="s">
        <v>54</v>
      </c>
      <c r="C16" s="4" t="str">
        <f>IF(LEN(TRIM(HighLevelConcept))=0,"MISSING","Complete")</f>
        <v>Complete</v>
      </c>
      <c r="D16" s="4">
        <f>IF(LEN(TRIM(HighLevelConcept))=0,0,LEN(TRIM(HighLevelConcept))-LEN(SUBSTITUTE(TRIM(HighLevelConcept)," ",""))+1)</f>
        <v>6</v>
      </c>
      <c r="E16" s="5" t="s">
        <v>23</v>
      </c>
    </row>
    <row r="17" spans="2:5" ht="16" customHeight="1" x14ac:dyDescent="0.2">
      <c r="B17" s="3" t="s">
        <v>55</v>
      </c>
      <c r="C17" s="4" t="str">
        <f>IF(LEN(TRIM(Channels))=0,"MISSING","Complete")</f>
        <v>Complete</v>
      </c>
      <c r="D17" s="4">
        <f>IF(LEN(TRIM(Channels))=0,0,LEN(TRIM(Channels))-LEN(SUBSTITUTE(TRIM(Channels)," ",""))+1)</f>
        <v>9</v>
      </c>
      <c r="E17" s="5" t="s">
        <v>24</v>
      </c>
    </row>
    <row r="18" spans="2:5" ht="16" customHeight="1" x14ac:dyDescent="0.2">
      <c r="B18" s="3" t="s">
        <v>56</v>
      </c>
      <c r="C18" s="4" t="str">
        <f>IF(LEN(TRIM(EarlyAdopters))=0,"MISSING","Complete")</f>
        <v>Complete</v>
      </c>
      <c r="D18" s="4">
        <f>IF(LEN(TRIM(EarlyAdopters))=0,0,LEN(TRIM(EarlyAdopters))-LEN(SUBSTITUTE(TRIM(EarlyAdopters)," ",""))+1)</f>
        <v>9</v>
      </c>
      <c r="E18" s="5" t="s">
        <v>25</v>
      </c>
    </row>
    <row r="19" spans="2:5" ht="16" customHeight="1" x14ac:dyDescent="0.2">
      <c r="B19" s="3" t="s">
        <v>57</v>
      </c>
      <c r="C19" s="4" t="str">
        <f>IF(LEN(TRIM(CostStructure))=0,"MISSING","Complete")</f>
        <v>Complete</v>
      </c>
      <c r="D19" s="4">
        <f>IF(LEN(TRIM(CostStructure))=0,0,LEN(TRIM(CostStructure))-LEN(SUBSTITUTE(TRIM(CostStructure)," ",""))+1)</f>
        <v>3</v>
      </c>
      <c r="E19" s="5" t="s">
        <v>28</v>
      </c>
    </row>
    <row r="20" spans="2:5" ht="16" customHeight="1" x14ac:dyDescent="0.2">
      <c r="B20" s="3" t="s">
        <v>58</v>
      </c>
      <c r="C20" s="4" t="str">
        <f>IF(LEN(TRIM(RevenueStreams))=0,"MISSING","Complete")</f>
        <v>Complete</v>
      </c>
      <c r="D20" s="4">
        <f>IF(LEN(TRIM(RevenueStreams))=0,0,LEN(TRIM(RevenueStreams))-LEN(SUBSTITUTE(TRIM(RevenueStreams)," ",""))+1)</f>
        <v>2</v>
      </c>
      <c r="E20" s="5" t="s">
        <v>29</v>
      </c>
    </row>
    <row r="22" spans="2:5" x14ac:dyDescent="0.2">
      <c r="B22" s="21" t="s">
        <v>59</v>
      </c>
      <c r="C22" s="7"/>
      <c r="D22" s="7"/>
      <c r="E22" s="7"/>
    </row>
  </sheetData>
  <mergeCells count="3">
    <mergeCell ref="B1:E1"/>
    <mergeCell ref="B22:E22"/>
    <mergeCell ref="B2:E2"/>
  </mergeCells>
  <conditionalFormatting sqref="C5:C20">
    <cfRule type="cellIs" dxfId="1" priority="1" operator="equal">
      <formula>"MISSING"</formula>
    </cfRule>
    <cfRule type="cellIs" dxfId="0" priority="2" operator="equal">
      <formula>"Complete"</formula>
    </cfRule>
  </conditionalFormatting>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18</vt:i4>
      </vt:variant>
    </vt:vector>
  </HeadingPairs>
  <TitlesOfParts>
    <vt:vector size="20" baseType="lpstr">
      <vt:lpstr>Lean Canvas</vt:lpstr>
      <vt:lpstr>Check</vt:lpstr>
      <vt:lpstr>Channels</vt:lpstr>
      <vt:lpstr>CostStructure</vt:lpstr>
      <vt:lpstr>CustomerSegments</vt:lpstr>
      <vt:lpstr>EarlyAdopters</vt:lpstr>
      <vt:lpstr>ExistingAlternatives</vt:lpstr>
      <vt:lpstr>HighLevelConcept</vt:lpstr>
      <vt:lpstr>KeyMetrics</vt:lpstr>
      <vt:lpstr>Check!Print_Area</vt:lpstr>
      <vt:lpstr>'Lean Canvas'!Print_Area</vt:lpstr>
      <vt:lpstr>Problem</vt:lpstr>
      <vt:lpstr>ProductName</vt:lpstr>
      <vt:lpstr>RevenueStreams</vt:lpstr>
      <vt:lpstr>Solution</vt:lpstr>
      <vt:lpstr>StudentEmail</vt:lpstr>
      <vt:lpstr>StudentName</vt:lpstr>
      <vt:lpstr>SubmissionDate</vt:lpstr>
      <vt:lpstr>UnfairAdvantage</vt:lpstr>
      <vt:lpstr>UniqueValueProp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Vivienne Gunadhi</cp:lastModifiedBy>
  <dcterms:created xsi:type="dcterms:W3CDTF">2026-09-15T00:04:26Z</dcterms:created>
  <dcterms:modified xsi:type="dcterms:W3CDTF">2026-10-06T05:52:10Z</dcterms:modified>
</cp:coreProperties>
</file>